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off Matrix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5">
    <font>
      <name val="Calibri"/>
      <charset val="1"/>
      <family val="2"/>
      <color theme="1"/>
      <sz val="11"/>
    </font>
    <font>
      <name val="Calibri"/>
      <charset val="1"/>
      <b val="1"/>
      <color rgb="FFFFFFFF"/>
      <sz val="13"/>
    </font>
    <font>
      <name val="Calibri"/>
      <charset val="1"/>
      <b val="1"/>
      <color rgb="FF2E7D6A"/>
      <sz val="10"/>
    </font>
    <font>
      <name val="Calibri"/>
      <charset val="1"/>
      <b val="1"/>
      <color rgb="FFFFFFFF"/>
      <sz val="10"/>
    </font>
    <font>
      <name val="Calibri"/>
      <charset val="1"/>
      <b val="1"/>
      <color rgb="FFC0392B"/>
      <sz val="10"/>
    </font>
    <font>
      <name val="Calibri"/>
      <charset val="1"/>
      <color rgb="FF3D3D3D"/>
      <sz val="10"/>
    </font>
    <font>
      <name val="Calibri"/>
      <charset val="1"/>
      <b val="1"/>
      <color rgb="FF1A5276"/>
      <sz val="10"/>
    </font>
    <font>
      <name val="Calibri"/>
      <charset val="1"/>
      <b val="1"/>
      <color rgb="FF1E8449"/>
      <sz val="10"/>
    </font>
    <font>
      <name val="Calibri"/>
      <charset val="1"/>
      <i val="1"/>
      <color rgb="FFAAAAAA"/>
      <sz val="8"/>
    </font>
    <font>
      <name val="Calibri"/>
      <charset val="1"/>
      <b val="1"/>
      <color rgb="FF1A1A1A"/>
      <sz val="10"/>
    </font>
    <font>
      <name val="Calibri"/>
      <charset val="1"/>
      <i val="1"/>
      <color rgb="FF888888"/>
      <sz val="8"/>
    </font>
    <font>
      <name val="Calibri"/>
      <charset val="1"/>
      <i val="1"/>
      <color rgb="FF888888"/>
      <sz val="9"/>
    </font>
    <font>
      <name val="Calibri"/>
      <charset val="1"/>
      <b val="1"/>
      <color rgb="FF3D3D3D"/>
      <sz val="10"/>
    </font>
    <font>
      <name val="Calibri"/>
      <charset val="1"/>
      <b val="1"/>
      <color rgb="FF1A1A1A"/>
      <sz val="11"/>
    </font>
    <font>
      <name val="Calibri"/>
      <charset val="1"/>
      <i val="1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2E7D6A"/>
        <bgColor rgb="FF1E8449"/>
      </patternFill>
    </fill>
    <fill>
      <patternFill patternType="solid">
        <fgColor rgb="FF3D3D3D"/>
        <bgColor rgb="FF555555"/>
      </patternFill>
    </fill>
    <fill>
      <patternFill patternType="solid">
        <fgColor rgb="FFFFF0EE"/>
        <bgColor rgb="FFFFF8F0"/>
      </patternFill>
    </fill>
    <fill>
      <patternFill patternType="solid">
        <fgColor rgb="FFF0F4FF"/>
        <bgColor rgb="FFF2F2F2"/>
      </patternFill>
    </fill>
    <fill>
      <patternFill patternType="solid">
        <fgColor rgb="FFF0FBF4"/>
        <bgColor rgb="FFF7F7F7"/>
      </patternFill>
    </fill>
    <fill>
      <patternFill patternType="solid">
        <fgColor rgb="FFC0392B"/>
        <bgColor rgb="FF993366"/>
      </patternFill>
    </fill>
    <fill>
      <patternFill patternType="solid">
        <fgColor rgb="FF1F618D"/>
        <bgColor rgb="FF1A5276"/>
      </patternFill>
    </fill>
    <fill>
      <patternFill patternType="solid">
        <fgColor rgb="FF1E8449"/>
        <bgColor rgb="FF2E7D6A"/>
      </patternFill>
    </fill>
    <fill>
      <patternFill patternType="solid">
        <fgColor rgb="FFF2F2F2"/>
        <bgColor rgb="FFF0F4FF"/>
      </patternFill>
    </fill>
    <fill>
      <patternFill patternType="solid">
        <fgColor rgb="FFFFFFFF"/>
        <bgColor rgb="FFFAFAFA"/>
      </patternFill>
    </fill>
    <fill>
      <patternFill patternType="solid">
        <fgColor rgb="FFF7F7F7"/>
        <bgColor rgb="FFFAFAFA"/>
      </patternFill>
    </fill>
    <fill>
      <patternFill patternType="solid">
        <fgColor rgb="FFFAFAFA"/>
        <bgColor rgb="FFF7F7F7"/>
      </patternFill>
    </fill>
    <fill>
      <patternFill patternType="solid">
        <fgColor rgb="FFFFF8F0"/>
        <bgColor rgb="FFFAFAFA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3" fontId="9" fillId="4" borderId="3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center" vertical="center" wrapText="1"/>
    </xf>
    <xf numFmtId="3" fontId="9" fillId="6" borderId="3" applyAlignment="1" pivotButton="0" quotePrefix="0" xfId="0">
      <alignment horizontal="center" vertical="center" wrapText="1"/>
    </xf>
    <xf numFmtId="3" fontId="5" fillId="11" borderId="3" applyAlignment="1" pivotButton="0" quotePrefix="0" xfId="0">
      <alignment horizontal="center" vertical="center" wrapText="1"/>
    </xf>
    <xf numFmtId="164" fontId="5" fillId="11" borderId="3" applyAlignment="1" pivotButton="0" quotePrefix="0" xfId="0">
      <alignment horizontal="center" vertical="center" wrapText="1"/>
    </xf>
    <xf numFmtId="3" fontId="5" fillId="12" borderId="3" applyAlignment="1" pivotButton="0" quotePrefix="0" xfId="0">
      <alignment horizontal="center" vertical="center" wrapText="1"/>
    </xf>
    <xf numFmtId="164" fontId="5" fillId="12" borderId="3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right" vertical="center" wrapText="1"/>
    </xf>
    <xf numFmtId="3" fontId="11" fillId="13" borderId="3" applyAlignment="1" pivotButton="0" quotePrefix="0" xfId="0">
      <alignment horizontal="center" vertical="center" wrapText="1"/>
    </xf>
    <xf numFmtId="0" fontId="0" fillId="13" borderId="3" pivotButton="0" quotePrefix="0" xfId="0"/>
    <xf numFmtId="0" fontId="5" fillId="11" borderId="3" applyAlignment="1" pivotButton="0" quotePrefix="0" xfId="0">
      <alignment horizontal="center" vertical="center" wrapText="1"/>
    </xf>
    <xf numFmtId="3" fontId="12" fillId="14" borderId="4" applyAlignment="1" pivotButton="0" quotePrefix="0" xfId="0">
      <alignment horizontal="center" vertical="center" wrapText="1"/>
    </xf>
    <xf numFmtId="3" fontId="5" fillId="14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 wrapText="1"/>
    </xf>
    <xf numFmtId="0" fontId="2" fillId="11" borderId="3" applyAlignment="1" pivotButton="0" quotePrefix="0" xfId="0">
      <alignment horizontal="center" vertical="center" wrapText="1"/>
    </xf>
    <xf numFmtId="3" fontId="13" fillId="11" borderId="3" applyAlignment="1" pivotButton="0" quotePrefix="0" xfId="0">
      <alignment horizontal="center" vertical="center" wrapText="1"/>
    </xf>
    <xf numFmtId="0" fontId="14" fillId="11" borderId="3" applyAlignment="1" pivotButton="0" quotePrefix="0" xfId="0">
      <alignment horizontal="left" vertical="center" wrapText="1"/>
    </xf>
    <xf numFmtId="0" fontId="2" fillId="12" borderId="3" applyAlignment="1" pivotButton="0" quotePrefix="0" xfId="0">
      <alignment horizontal="center" vertical="center" wrapText="1"/>
    </xf>
    <xf numFmtId="3" fontId="13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5" fontId="9" fillId="4" borderId="3" applyAlignment="1" pivotButton="0" quotePrefix="0" xfId="0">
      <alignment horizontal="center" vertical="center" wrapText="1"/>
    </xf>
    <xf numFmtId="165" fontId="9" fillId="5" borderId="3" applyAlignment="1" pivotButton="0" quotePrefix="0" xfId="0">
      <alignment horizontal="center" vertical="center" wrapText="1"/>
    </xf>
    <xf numFmtId="165" fontId="9" fillId="6" borderId="3" applyAlignment="1" pivotButton="0" quotePrefix="0" xfId="0">
      <alignment horizontal="center" vertical="center" wrapText="1"/>
    </xf>
    <xf numFmtId="165" fontId="5" fillId="11" borderId="3" applyAlignment="1" pivotButton="0" quotePrefix="0" xfId="0">
      <alignment horizontal="center" vertical="center" wrapText="1"/>
    </xf>
    <xf numFmtId="165" fontId="5" fillId="12" borderId="3" applyAlignment="1" pivotButton="0" quotePrefix="0" xfId="0">
      <alignment horizontal="center" vertical="center" wrapText="1"/>
    </xf>
    <xf numFmtId="165" fontId="11" fillId="13" borderId="3" applyAlignment="1" pivotButton="0" quotePrefix="0" xfId="0">
      <alignment horizontal="center" vertical="center" wrapText="1"/>
    </xf>
    <xf numFmtId="165" fontId="12" fillId="14" borderId="4" applyAlignment="1" pivotButton="0" quotePrefix="0" xfId="0">
      <alignment horizontal="center" vertical="center" wrapText="1"/>
    </xf>
    <xf numFmtId="165" fontId="5" fillId="14" borderId="3" applyAlignment="1" pivotButton="0" quotePrefix="0" xfId="0">
      <alignment horizontal="center" vertical="center" wrapText="1"/>
    </xf>
    <xf numFmtId="165" fontId="13" fillId="11" borderId="3" applyAlignment="1" pivotButton="0" quotePrefix="0" xfId="0">
      <alignment horizontal="center" vertical="center" wrapText="1"/>
    </xf>
    <xf numFmtId="165" fontId="13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88888"/>
      <rgbColor rgb="FF9999FF"/>
      <rgbColor rgb="FF993366"/>
      <rgbColor rgb="FFFFF8F0"/>
      <rgbColor rgb="FFF0FBF4"/>
      <rgbColor rgb="FF660066"/>
      <rgbColor rgb="FFFF8080"/>
      <rgbColor rgb="FF1F618D"/>
      <rgbColor rgb="FFF7F7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2F2F2"/>
      <rgbColor rgb="FFFFF0EE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A5276"/>
      <rgbColor rgb="FF2E7D6A"/>
      <rgbColor rgb="FF003300"/>
      <rgbColor rgb="FF1A1A1A"/>
      <rgbColor rgb="FFC0392B"/>
      <rgbColor rgb="FF993366"/>
      <rgbColor rgb="FF555555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topLeftCell="A12" zoomScaleNormal="100" workbookViewId="0">
      <selection activeCell="C21" sqref="C21"/>
    </sheetView>
  </sheetViews>
  <sheetFormatPr baseColWidth="8" defaultColWidth="8.7109375" defaultRowHeight="15"/>
  <cols>
    <col width="32" customWidth="1" min="1" max="1"/>
    <col width="18" customWidth="1" min="2" max="2"/>
    <col width="13" customWidth="1" min="3" max="4"/>
    <col width="16" customWidth="1" min="5" max="5"/>
    <col width="13" customWidth="1" min="6" max="7"/>
    <col width="17" customWidth="1" min="8" max="8"/>
    <col width="13" customWidth="1" min="9" max="12"/>
  </cols>
  <sheetData>
    <row r="1" ht="27.75" customHeight="1">
      <c r="A1" s="36" t="inlineStr">
        <is>
          <t>Payoff Matrix — Planting Density Strategy (Corn)</t>
        </is>
      </c>
      <c r="B1" s="39" t="n"/>
      <c r="C1" s="39" t="n"/>
      <c r="D1" s="39" t="n"/>
      <c r="E1" s="39" t="n"/>
      <c r="F1" s="39" t="n"/>
      <c r="G1" s="39" t="n"/>
      <c r="H1" s="39" t="n"/>
    </row>
    <row r="2" ht="13.5" customHeight="1">
      <c r="A2" s="40" t="n"/>
    </row>
    <row r="3" ht="9.75" customHeight="1"/>
    <row r="4" ht="18" customHeight="1">
      <c r="A4" s="37" t="inlineStr">
        <is>
          <t>How scenarios were defined</t>
        </is>
      </c>
      <c r="B4" s="41" t="n"/>
      <c r="C4" s="41" t="n"/>
      <c r="D4" s="41" t="n"/>
    </row>
    <row r="5" ht="24.75" customHeight="1">
      <c r="A5" s="1" t="inlineStr">
        <is>
          <t>Scenario</t>
        </is>
      </c>
      <c r="B5" s="1" t="inlineStr">
        <is>
          <t>Real yield range (sc/ha)</t>
        </is>
      </c>
      <c r="C5" s="1" t="inlineStr">
        <is>
          <t>Sample size (n)</t>
        </is>
      </c>
      <c r="D5" s="1" t="inlineStr">
        <is>
          <t>Observed mean yield</t>
        </is>
      </c>
    </row>
    <row r="6" ht="18" customHeight="1">
      <c r="A6" s="2" t="inlineStr">
        <is>
          <t>Pessimistic  (adverse climate/soil)</t>
        </is>
      </c>
      <c r="B6" s="3" t="inlineStr">
        <is>
          <t>78.3 – 90.4</t>
        </is>
      </c>
      <c r="C6" s="3" t="inlineStr">
        <is>
          <t>9,602</t>
        </is>
      </c>
      <c r="D6" s="3" t="inlineStr">
        <is>
          <t>84.4 sc/ha</t>
        </is>
      </c>
    </row>
    <row r="7" ht="18" customHeight="1">
      <c r="A7" s="4" t="inlineStr">
        <is>
          <t>Baseline  (normal conditions)</t>
        </is>
      </c>
      <c r="B7" s="5" t="inlineStr">
        <is>
          <t>90.5 – 102.5</t>
        </is>
      </c>
      <c r="C7" s="5" t="inlineStr">
        <is>
          <t>9,589</t>
        </is>
      </c>
      <c r="D7" s="5" t="inlineStr">
        <is>
          <t>96.5 sc/ha</t>
        </is>
      </c>
    </row>
    <row r="8" ht="18" customHeight="1">
      <c r="A8" s="6" t="inlineStr">
        <is>
          <t>Optimistic  (favourable climate/soil)</t>
        </is>
      </c>
      <c r="B8" s="7" t="inlineStr">
        <is>
          <t>102.5 – 115.0</t>
        </is>
      </c>
      <c r="C8" s="7" t="inlineStr">
        <is>
          <t>9,884</t>
        </is>
      </c>
      <c r="D8" s="7" t="inlineStr">
        <is>
          <t>108.8 sc/ha</t>
        </is>
      </c>
    </row>
    <row r="9" ht="13.5" customHeight="1">
      <c r="A9" s="38" t="n"/>
      <c r="B9" s="41" t="n"/>
      <c r="C9" s="41" t="n"/>
      <c r="D9" s="41" t="n"/>
      <c r="E9" s="41" t="n"/>
      <c r="F9" s="41" t="n"/>
      <c r="G9" s="41" t="n"/>
      <c r="H9" s="41" t="n"/>
    </row>
    <row r="10" ht="12" customHeight="1"/>
    <row r="11" ht="18" customHeight="1">
      <c r="A11" s="37" t="inlineStr">
        <is>
          <t>Payoff Matrix</t>
        </is>
      </c>
      <c r="B11" s="41" t="n"/>
      <c r="C11" s="41" t="n"/>
      <c r="D11" s="41" t="n"/>
      <c r="E11" s="41" t="n"/>
      <c r="F11" s="41" t="n"/>
      <c r="G11" s="41" t="n"/>
      <c r="H11" s="41" t="n"/>
    </row>
    <row r="12" ht="21.75" customHeight="1">
      <c r="A12" s="1" t="inlineStr">
        <is>
          <t>Alternative  /  Scenario</t>
        </is>
      </c>
      <c r="B12" s="8" t="inlineStr">
        <is>
          <t>Pessimistic</t>
        </is>
      </c>
      <c r="C12" s="9" t="inlineStr">
        <is>
          <t>Baseline</t>
        </is>
      </c>
      <c r="D12" s="10" t="inlineStr">
        <is>
          <t>Optimistic</t>
        </is>
      </c>
      <c r="E12" s="1" t="inlineStr">
        <is>
          <t>Maximax</t>
        </is>
      </c>
      <c r="F12" s="1" t="inlineStr">
        <is>
          <t>Maximin</t>
        </is>
      </c>
      <c r="G12" s="1" t="inlineStr">
        <is>
          <t>Laplace</t>
        </is>
      </c>
    </row>
    <row r="13" ht="13.5" customHeight="1">
      <c r="A13" s="11" t="n"/>
      <c r="B13" s="12" t="inlineStr">
        <is>
          <t>(sc/ha)</t>
        </is>
      </c>
      <c r="C13" s="12" t="inlineStr">
        <is>
          <t>(sc/ha)</t>
        </is>
      </c>
      <c r="D13" s="12" t="inlineStr">
        <is>
          <t>(sc/ha)</t>
        </is>
      </c>
      <c r="E13" s="12" t="inlineStr">
        <is>
          <t>best of the best</t>
        </is>
      </c>
      <c r="F13" s="12" t="inlineStr">
        <is>
          <t>best of the worst</t>
        </is>
      </c>
      <c r="G13" s="12" t="inlineStr">
        <is>
          <t>simple average</t>
        </is>
      </c>
    </row>
    <row r="14" ht="30" customHeight="1">
      <c r="A14" s="13" t="inlineStr">
        <is>
          <t>Standard Density
(real data — tercile mean)</t>
        </is>
      </c>
      <c r="B14" s="42" t="n">
        <v>84.40000000000001</v>
      </c>
      <c r="C14" s="43" t="n">
        <v>96.5</v>
      </c>
      <c r="D14" s="44" t="n">
        <v>108.8</v>
      </c>
      <c r="E14" s="45">
        <f>MAX(B14:D14)</f>
        <v/>
      </c>
      <c r="F14" s="45">
        <f>MIN(B14:D14)</f>
        <v/>
      </c>
      <c r="G14" s="45">
        <f>AVERAGE(B14:D14)</f>
        <v/>
      </c>
    </row>
    <row r="15" ht="30" customHeight="1">
      <c r="A15" s="13" t="inlineStr">
        <is>
          <t>Reduced Density −20%
(plasticity / less stress)</t>
        </is>
      </c>
      <c r="B15" s="42" t="n">
        <v>88.7</v>
      </c>
      <c r="C15" s="43" t="n">
        <v>98.5</v>
      </c>
      <c r="D15" s="44" t="n">
        <v>119.7</v>
      </c>
      <c r="E15" s="46">
        <f>MAX(B15:D15)</f>
        <v/>
      </c>
      <c r="F15" s="46">
        <f>MIN(B15:D15)</f>
        <v/>
      </c>
      <c r="G15" s="46">
        <f>AVERAGE(B15:D15)</f>
        <v/>
      </c>
    </row>
    <row r="16" ht="30" customHeight="1">
      <c r="A16" s="13" t="inlineStr">
        <is>
          <t>Increased Density +20%
(productive ceiling / higher risk)</t>
        </is>
      </c>
      <c r="B16" s="42" t="n">
        <v>76</v>
      </c>
      <c r="C16" s="43" t="n">
        <v>93.7</v>
      </c>
      <c r="D16" s="44" t="n">
        <v>100</v>
      </c>
      <c r="E16" s="45">
        <f>MAX(B16:D16)</f>
        <v/>
      </c>
      <c r="F16" s="45">
        <f>MIN(B16:D16)</f>
        <v/>
      </c>
      <c r="G16" s="45">
        <f>AVERAGE(B16:D16)</f>
        <v/>
      </c>
    </row>
    <row r="17" ht="15.75" customHeight="1">
      <c r="A17" s="21" t="inlineStr">
        <is>
          <t>↑ Best per scenario</t>
        </is>
      </c>
      <c r="B17" s="47">
        <f>MAX(B14:B16)</f>
        <v/>
      </c>
      <c r="C17" s="47">
        <f>MAX(C14:C16)</f>
        <v/>
      </c>
      <c r="D17" s="47">
        <f>MAX(D14:D16)</f>
        <v/>
      </c>
      <c r="E17" s="23" t="n"/>
      <c r="F17" s="23" t="n"/>
      <c r="G17" s="23" t="n"/>
      <c r="H17" s="23" t="n"/>
    </row>
    <row r="18" ht="12" customHeight="1"/>
    <row r="19" ht="18" customHeight="1">
      <c r="A19" s="37" t="inlineStr">
        <is>
          <t>Regret Matrix  (Savage Criterion)</t>
        </is>
      </c>
      <c r="B19" s="41" t="n"/>
      <c r="C19" s="41" t="n"/>
      <c r="D19" s="41" t="n"/>
      <c r="E19" s="41" t="n"/>
    </row>
    <row r="20" ht="19.5" customHeight="1">
      <c r="A20" s="1" t="inlineStr">
        <is>
          <t>Alternative</t>
        </is>
      </c>
      <c r="B20" s="8" t="inlineStr">
        <is>
          <t>Pessimistic</t>
        </is>
      </c>
      <c r="C20" s="9" t="inlineStr">
        <is>
          <t>Baseline</t>
        </is>
      </c>
      <c r="D20" s="10" t="inlineStr">
        <is>
          <t>Optimistic</t>
        </is>
      </c>
      <c r="E20" s="1" t="inlineStr">
        <is>
          <t>Minimax Regret</t>
        </is>
      </c>
    </row>
    <row r="21" ht="24" customHeight="1">
      <c r="A21" s="24" t="inlineStr">
        <is>
          <t>Standard Density</t>
        </is>
      </c>
      <c r="B21" s="45">
        <f>$B$17-B14</f>
        <v/>
      </c>
      <c r="C21" s="45">
        <f>$C$17-C14</f>
        <v/>
      </c>
      <c r="D21" s="45">
        <f>$D$17-D14</f>
        <v/>
      </c>
      <c r="E21" s="48">
        <f>MAX(B21:B23)</f>
        <v/>
      </c>
    </row>
    <row r="22" ht="24" customHeight="1">
      <c r="A22" s="13" t="inlineStr">
        <is>
          <t>Reduced Density −20%</t>
        </is>
      </c>
      <c r="B22" s="49">
        <f>$B$17-B15</f>
        <v/>
      </c>
      <c r="C22" s="49">
        <f>$C$17-C15</f>
        <v/>
      </c>
      <c r="D22" s="49">
        <f>$D$17-D15</f>
        <v/>
      </c>
      <c r="E22" s="48">
        <f>MAX(C21:C23)</f>
        <v/>
      </c>
    </row>
    <row r="23" ht="24" customHeight="1">
      <c r="A23" s="24" t="inlineStr">
        <is>
          <t>Increased Density +20%</t>
        </is>
      </c>
      <c r="B23" s="49">
        <f>$B$17-B16</f>
        <v/>
      </c>
      <c r="C23" s="49">
        <f>$C$17-C16</f>
        <v/>
      </c>
      <c r="D23" s="49">
        <f>$D$17-D16</f>
        <v/>
      </c>
      <c r="E23" s="48">
        <f>MAX(D21:D23)</f>
        <v/>
      </c>
    </row>
    <row r="24" ht="12" customHeight="1"/>
    <row r="25" ht="18" customHeight="1">
      <c r="A25" s="27" t="inlineStr">
        <is>
          <t>Decision Summary</t>
        </is>
      </c>
    </row>
    <row r="26" ht="18" customHeight="1">
      <c r="A26" s="1" t="inlineStr">
        <is>
          <t>Criterion</t>
        </is>
      </c>
      <c r="B26" s="1" t="inlineStr">
        <is>
          <t>Best alternative</t>
        </is>
      </c>
      <c r="C26" s="1" t="inlineStr">
        <is>
          <t>Value (sc/ha)</t>
        </is>
      </c>
      <c r="D26" s="1" t="inlineStr">
        <is>
          <t>Decision profile</t>
        </is>
      </c>
    </row>
    <row r="27" ht="53.25" customHeight="1">
      <c r="A27" s="28" t="inlineStr">
        <is>
          <t>Maximax (best of the best)</t>
        </is>
      </c>
      <c r="B27" s="29">
        <f>INDEX($A$14:$A$16,MATCH(MAX(E14:E16),E14:E16,0))</f>
        <v/>
      </c>
      <c r="C27" s="50">
        <f>MAX(E14:E16)</f>
        <v/>
      </c>
      <c r="D27" s="31" t="inlineStr">
        <is>
          <t>Optimistic — targets highest productive ceiling</t>
        </is>
      </c>
    </row>
    <row r="28" ht="53.25" customHeight="1">
      <c r="A28" s="28" t="inlineStr">
        <is>
          <t>Maximin (best of the worst)</t>
        </is>
      </c>
      <c r="B28" s="32">
        <f>INDEX($A$14:$A$16,MATCH(MAX(F14:F16),F14:F16,0))</f>
        <v/>
      </c>
      <c r="C28" s="51">
        <f>MAX(F14:F16)</f>
        <v/>
      </c>
      <c r="D28" s="34" t="inlineStr">
        <is>
          <t>Conservative — protects against worst climate</t>
        </is>
      </c>
    </row>
    <row r="29" ht="53.25" customHeight="1">
      <c r="A29" s="28" t="inlineStr">
        <is>
          <t>Laplace (equal probability)</t>
        </is>
      </c>
      <c r="B29" s="29">
        <f>INDEX($A$14:$A$16,MATCH(MAX(G14:G16),G14:G16,0))</f>
        <v/>
      </c>
      <c r="C29" s="50">
        <f>MAX(G14:G16)</f>
        <v/>
      </c>
      <c r="D29" s="31" t="inlineStr">
        <is>
          <t>Neutral — no scenario bias</t>
        </is>
      </c>
    </row>
    <row r="30" ht="40.5" customHeight="1">
      <c r="A30" s="28" t="inlineStr">
        <is>
          <t>Minimax Regret (Savage)</t>
        </is>
      </c>
      <c r="B30" s="32">
        <f>INDEX($A$14:$A$16,MATCH(MIN(E21:E23),E21:E23,0))</f>
        <v/>
      </c>
      <c r="C30" s="51">
        <f>MIN(E21:E23)</f>
        <v/>
      </c>
      <c r="D30" s="34" t="inlineStr">
        <is>
          <t>Pragmatic — minimises future regret</t>
        </is>
      </c>
    </row>
    <row r="31" ht="9.75" customHeight="1"/>
    <row r="32" ht="19.5" customHeight="1">
      <c r="A32" s="35" t="inlineStr">
        <is>
          <t>Note: Standard Density values correspond to real means of each yield tercile (harvest_summary_brazil.csv, n=29,075 corn fields, 2025/2026 seasons). Reduced/Increased Density values are modelled with agronomic adjustments (±5–10%). Replace B14:D16 with validated field-trial data when available.</t>
        </is>
      </c>
    </row>
  </sheetData>
  <mergeCells count="6">
    <mergeCell ref="A9:H9"/>
    <mergeCell ref="A4:D4"/>
    <mergeCell ref="A19:E19"/>
    <mergeCell ref="A11:H11"/>
    <mergeCell ref="A32:H32"/>
    <mergeCell ref="A1:H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2026-05-15T15:43:18Z</dcterms:created>
  <dcterms:modified xsi:type="dcterms:W3CDTF">2026-05-27T13:21:52Z</dcterms:modified>
  <cp:revision>0</cp:revision>
</cp:coreProperties>
</file>